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valentinag\microsoft\bci\bci_workshop\laboratorios\dia3-workshop-arquitectura\plantillas\"/>
    </mc:Choice>
  </mc:AlternateContent>
  <xr:revisionPtr revIDLastSave="0" documentId="13_ncr:101_{6AFEFF5E-9432-477C-9DCC-C449C7086A37}" xr6:coauthVersionLast="47" xr6:coauthVersionMax="47" xr10:uidLastSave="{00000000-0000-0000-0000-000000000000}"/>
  <bookViews>
    <workbookView xWindow="-98" yWindow="-98" windowWidth="28996" windowHeight="17716" xr2:uid="{00000000-000D-0000-FFFF-FFFF00000000}"/>
  </bookViews>
  <sheets>
    <sheet name="Leeme" sheetId="1" r:id="rId1"/>
    <sheet name="1-canvas-arq-decisiones" sheetId="2" r:id="rId2"/>
    <sheet name="2-amenazas-controles" sheetId="3" r:id="rId3"/>
    <sheet name="3-slos-evals-observabilidad" sheetId="4" r:id="rId4"/>
    <sheet name="4-mapa-de-riesgos" sheetId="5" r:id="rId5"/>
    <sheet name="5-backlog" sheetId="6" r:id="rId6"/>
    <sheet name="Listas" sheetId="7" r:id="rId7"/>
  </sheets>
  <definedNames>
    <definedName name="_xlnm.Print_Titles" localSheetId="1">'1-canvas-arq-decisiones'!$3:$3</definedName>
    <definedName name="_xlnm.Print_Titles" localSheetId="2">'2-amenazas-controles'!$3:$3</definedName>
    <definedName name="_xlnm.Print_Titles" localSheetId="3">'3-slos-evals-observabilidad'!$3:$3</definedName>
    <definedName name="_xlnm.Print_Titles" localSheetId="4">'4-mapa-de-riesgos'!$3:$3</definedName>
    <definedName name="_xlnm.Print_Titles" localSheetId="5">'5-backlog'!$3:$3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 i="5" l="1"/>
  <c r="G12" i="5"/>
  <c r="G11" i="5"/>
  <c r="G10" i="5"/>
  <c r="G9" i="5"/>
  <c r="G8" i="5"/>
  <c r="G7" i="5"/>
  <c r="G6" i="5"/>
  <c r="G5" i="5"/>
  <c r="G4" i="5"/>
</calcChain>
</file>

<file path=xl/sharedStrings.xml><?xml version="1.0" encoding="utf-8"?>
<sst xmlns="http://schemas.openxmlformats.org/spreadsheetml/2006/main" count="229" uniqueCount="193">
  <si>
    <t>Workshop BCI · Architecture Decision Workshop · Plantillas del grupo</t>
  </si>
  <si>
    <t>Caso ficticio «Austral Bank»: asistente de Tesorería para clientes corporativos. Material de trabajo en grupo. No contiene datos reales de BCI ni de ningún banco.</t>
  </si>
  <si>
    <t>Paso</t>
  </si>
  <si>
    <t>Hoja de este libro</t>
  </si>
  <si>
    <t>Tiempo</t>
  </si>
  <si>
    <t>Qué entregas</t>
  </si>
  <si>
    <t>1 · Contexto</t>
  </si>
  <si>
    <t>caso-austral-bank (documento aparte)</t>
  </si>
  <si>
    <t>5 min</t>
  </si>
  <si>
    <t>Alcance acordado y supuestos que cambias. Anótalos en la columna «Supuesto» del canvas.</t>
  </si>
  <si>
    <t>2 · Canvas de arquitectura y decisiones</t>
  </si>
  <si>
    <t>1-canvas-arq-decisiones</t>
  </si>
  <si>
    <t>10 min</t>
  </si>
  <si>
    <t>5 decisiones (Canal, Identidad, Sesión, Agente/modelo, Tools/datos), cada una con criterio y supuesto.</t>
  </si>
  <si>
    <t>3 · Amenazas</t>
  </si>
  <si>
    <t>2-amenazas-controles y 4-mapa-de-riesgos</t>
  </si>
  <si>
    <t>8 min</t>
  </si>
  <si>
    <t>3 a 5 amenazas con control, punto de aplicación y dueño; luego pásalas al mapa de riesgos.</t>
  </si>
  <si>
    <t>4 · SLOs y evaluación</t>
  </si>
  <si>
    <t>3-slos-evals-observabilidad</t>
  </si>
  <si>
    <t>7 min</t>
  </si>
  <si>
    <t>Métrica, objetivo, fuente de datos, evaluador/umbral y alerta por dimensión.</t>
  </si>
  <si>
    <t>5 · Backlog</t>
  </si>
  <si>
    <t>5-backlog</t>
  </si>
  <si>
    <t>3 a 5 ítems (ADR, PoC, test, habilitador) con dueño y criterio de éxito; marca el primer experimento.</t>
  </si>
  <si>
    <t>Puesta en común</t>
  </si>
  <si>
    <t>(todas)</t>
  </si>
  <si>
    <t>3 min</t>
  </si>
  <si>
    <t>Decisión principal · supuesto crítico · primer experimento.</t>
  </si>
  <si>
    <t>Roles sugeridos</t>
  </si>
  <si>
    <t>Relator</t>
  </si>
  <si>
    <t>Presenta en 3 minutos. Cuida el tiempo de cada paso.</t>
  </si>
  <si>
    <t>Escriba</t>
  </si>
  <si>
    <t>Es la única persona que edita este archivo (los demás comentan en voz alta).</t>
  </si>
  <si>
    <t>Retador de seguridad</t>
  </si>
  <si>
    <t>Hace las preguntas incómodas: ¿qué pasa si…? en cada decisión.</t>
  </si>
  <si>
    <t>Dueño de datos</t>
  </si>
  <si>
    <t>Defiende la sensibilidad de los datos y de quién los puede ver.</t>
  </si>
  <si>
    <t>Cómo funciona</t>
  </si>
  <si>
    <t>•</t>
  </si>
  <si>
    <t>Guarda una copia como Grupo-XX_Workshop_BCI.xlsx en la carpeta compartida de tu mesa o sala de Teams y trabaja solo sobre esa copia.</t>
  </si>
  <si>
    <t>Las filas amarillas marcadas EJEMPLO son de muestra del caso Austral Bank: sobrescríbelas o bórralas.</t>
  </si>
  <si>
    <t>Las listas desplegables (tipo, prioridad, probabilidad, impacto, esfuerzo, estado ADR) viven en la hoja «Listas»: puedes ampliarlas.</t>
  </si>
  <si>
    <t>El «Nivel (auto)» del mapa de riesgos se calcula: Alto si probabilidad × impacto ≥ 6, Medio si 3 a 5, Bajo si ≤ 2 (Baja/Bajo = 1, Media/Medio = 2, Alta/Alto = 3).</t>
  </si>
  <si>
    <t>Una decisión sin supuesto explícito no está terminada. Una amenaza sin dueño tampoco.</t>
  </si>
  <si>
    <t>Para usar estas plantillas con tu caso real: cambia el contexto, conserva columnas y listas, y revisa dónde guardas el archivo (no incluyas datos reales en una carpeta compartida sin la clasificación adecuada).</t>
  </si>
  <si>
    <t>Leyenda de esfuerzo</t>
  </si>
  <si>
    <t>S · M · L</t>
  </si>
  <si>
    <t>S: hasta 1 semana · M: hasta 1 mes · L: más de 1 mes (estimación gruesa de un equipo pequeño).</t>
  </si>
  <si>
    <t>Paso 2 · Canvas de arquitectura y decisiones (10 min)</t>
  </si>
  <si>
    <t>Completa una fila por dimensión. Lo más importante es el CRITERIO y el SUPUESTO detrás de cada decisión, no el diagrama. Usa las opciones como punto de partida, no como lista cerrada. Si la decisión es importante y discutible, marca 'Por redactar' o 'Propuesta' en Estado ADR y abre una ficha ADR-plantilla. Las filas amarillas marcadas EJEMPLO son del caso Austral Bank: bórralas o sobrescríbelas.</t>
  </si>
  <si>
    <t>Dimensión</t>
  </si>
  <si>
    <t>Decisión</t>
  </si>
  <si>
    <t>Opciones</t>
  </si>
  <si>
    <t>Criterio</t>
  </si>
  <si>
    <t>Supuesto</t>
  </si>
  <si>
    <t>Riesgo asociado</t>
  </si>
  <si>
    <t>Estado ADR</t>
  </si>
  <si>
    <t>Pregunta guía</t>
  </si>
  <si>
    <t>EJEMPLO · Sesión</t>
  </si>
  <si>
    <t>Multiplexar sesiones en web y app (pool acotado con Session Gateway); sesión 1:1 por ejecutivo y caso en contact center.</t>
  </si>
  <si>
    <t>Hosted Agent con sesión 1:1 por usuario · Pool de sesiones con Session Gateway</t>
  </si>
  <si>
    <t>Concurrencia esperada (~1.500 usuarios en pico) frente al límite de sesiones concurrentes y al costo de cómputo.</t>
  </si>
  <si>
    <t>Pico de 1.500 usuarios con conversación abierta en 15 min; límite por defecto de 1.000 sesiones concurrentes por suscripción y región.</t>
  </si>
  <si>
    <t>Mezcla de datos entre clientes si el contenedor no particiona sus datos por (sesión, usuario).</t>
  </si>
  <si>
    <t>En validación (PoC)</t>
  </si>
  <si>
    <t>EJEMPLO · Identidad</t>
  </si>
  <si>
    <t>Identidad delegada del usuario hasta la API de core (el backend intermedio hace el intercambio de token). Identidad propia del agente solo para recursos que no son por cliente (políticas, precios FX).</t>
  </si>
  <si>
    <t>OBO delegado · client-credentials (identidad del agente)</t>
  </si>
  <si>
    <t>Sensibilidad del dato accedido: saldos y posiciones son por cliente.</t>
  </si>
  <si>
    <t>El IdP de clientes puede emitir un token delegado con audience de la API de tesorería.</t>
  </si>
  <si>
    <t>Permisos excesivos del agente; identidad de usuario tomada de un encabezado no confiable.</t>
  </si>
  <si>
    <t>Propuesta</t>
  </si>
  <si>
    <t>Canal</t>
  </si>
  <si>
    <t>Web, app móvil, contact center, Teams</t>
  </si>
  <si>
    <t>¿Qué canales entran al agente?</t>
  </si>
  <si>
    <t>Identidad</t>
  </si>
  <si>
    <t>OBO delegado vs client-credentials</t>
  </si>
  <si>
    <t>¿Cómo se autentica usuario y agente?</t>
  </si>
  <si>
    <t>Sesión</t>
  </si>
  <si>
    <t>Hosted Agent dedicado vs Session Gateway</t>
  </si>
  <si>
    <t>¿Sesión 1:1 o multiplexada?</t>
  </si>
  <si>
    <t>Agente / modelo</t>
  </si>
  <si>
    <t>Single agent, sequential, handoff, group chat</t>
  </si>
  <si>
    <t>¿Qué patrón de orquestación?</t>
  </si>
  <si>
    <t>Tools / datos</t>
  </si>
  <si>
    <t>MCP directo vs vía AI Gateway</t>
  </si>
  <si>
    <t>¿Cómo se exponen herramientas y datos?</t>
  </si>
  <si>
    <t>Paso 3 · Amenazas y controles (8 min)</t>
  </si>
  <si>
    <t>1) Dibuja el flujo del caso (canal → identidad → sesión → agente → tools → datos). 2) Enumera 3 a 5 amenazas, mirando cada punto de intervención: entrada, herramienta, salida y memoria. 3) Prioriza: no todo es crítico. 4) Para cada amenaza define control, punto de aplicación y dueño. Ninguna amenaza queda sin control ni dueño. Al terminar, pasa las amenazas principales a la hoja 4 (mapa de riesgos).</t>
  </si>
  <si>
    <t>Amenaza</t>
  </si>
  <si>
    <t>Activo afectado</t>
  </si>
  <si>
    <t>Vector</t>
  </si>
  <si>
    <t>Control propuesto</t>
  </si>
  <si>
    <t>Punto de aplicación</t>
  </si>
  <si>
    <t>Dueño</t>
  </si>
  <si>
    <t>EJEMPLO · Prompt injection indirecto vía documentos adjuntos de comercio exterior</t>
  </si>
  <si>
    <t>Comportamiento del agente; datos de otros clientes</t>
  </si>
  <si>
    <t>PDF de carta de crédito con instrucciones ocultas que el agente lee como si fueran órdenes.</t>
  </si>
  <si>
    <t>Prompt Shields (ataques de documento) antes de dar el adjunto al agente; guardrail de respuesta de herramienta donde la herramienta lo soporta (preview); revisión humana de adjuntos de riesgo alto.</t>
  </si>
  <si>
    <t>Contenido recuperado / adjunto</t>
  </si>
  <si>
    <t>Seguridad</t>
  </si>
  <si>
    <t>EJEMPLO · Agente con permisos excesivos sobre cuentas corporativas</t>
  </si>
  <si>
    <t>Saldos, posiciones y operaciones del cliente</t>
  </si>
  <si>
    <t>El agente usa una identidad con alcance mayor al necesario o una herramienta que permite más de lo que el usuario puede ver.</t>
  </si>
  <si>
    <t>Identidad delegada del usuario, RBAC de mínimo privilegio, lista de herramientas permitidas, v1 solo lectura y aprobación humana para cualquier acción futura de monto alto.</t>
  </si>
  <si>
    <t>Identidad / RBAC</t>
  </si>
  <si>
    <t>Arquitectura</t>
  </si>
  <si>
    <t>Paso 4 · SLOs, evaluaciones y observabilidad (7 min)</t>
  </si>
  <si>
    <t>Para cada dimensión define una métrica, un objetivo numérico (si no tienes tráfico real, escríbelo como HIPÓTESIS), de dónde sale el dato y qué evaluador, umbral o alerta lo vigila. No copies cifras del ejemplo: valídalas con tu propio tráfico. Las 4 filas grises traen la sugerencia de la presentación (Disponibilidad, Calidad, Seguridad, Costo): edítalas.</t>
  </si>
  <si>
    <t>Métrica</t>
  </si>
  <si>
    <t>Objetivo</t>
  </si>
  <si>
    <t>Fuente de datos</t>
  </si>
  <si>
    <t>Evaluador / umbral</t>
  </si>
  <si>
    <t>Alerta</t>
  </si>
  <si>
    <t>EJEMPLO · Latencia</t>
  </si>
  <si>
    <t>Tiempo hasta el primer texto visible y tiempo de respuesta completa con consulta a core.</t>
  </si>
  <si>
    <t>Web/app: p95 ≤ 3 s al primer texto y ≤ 8 s completa (hipótesis).</t>
  </si>
  <si>
    <t>Trazas OpenTelemetry (Application Insights) y logs de APIM.</t>
  </si>
  <si>
    <t>n/a (indicador de plataforma)</t>
  </si>
  <si>
    <t>p95 &gt; objetivo por 15 min sostenidos → Plataforma/SRE.</t>
  </si>
  <si>
    <t>EJEMPLO · Aislamiento de datos</t>
  </si>
  <si>
    <t>Resultado de la prueba A-A-B de aislamiento entre usuarios en sesión compartida.</t>
  </si>
  <si>
    <t>100 % de casos superados en cada release.</t>
  </si>
  <si>
    <t>Pruebas automatizadas en el pipeline.</t>
  </si>
  <si>
    <t>Evaluador de fuga de datos sensibles: umbral de 0 fugas en el set adversarial.</t>
  </si>
  <si>
    <t>Cualquier fallo bloquea la promoción y abre incidente de seguridad.</t>
  </si>
  <si>
    <t>Disponibilidad</t>
  </si>
  <si>
    <t>SLO de éxito de sesión del Hosted Agent</t>
  </si>
  <si>
    <t>Trazas OpenTelemetry</t>
  </si>
  <si>
    <t>Calidad</t>
  </si>
  <si>
    <t>Evaluadores de groundedness y tool-use</t>
  </si>
  <si>
    <t>Evaluación continua en CI/CD</t>
  </si>
  <si>
    <t>Tasa de bloqueo de Prompt Shields / Content Safety</t>
  </si>
  <si>
    <t>Logs de guardrails</t>
  </si>
  <si>
    <t>Costo</t>
  </si>
  <si>
    <t>Tokens y CPU/memoria por sesión activa</t>
  </si>
  <si>
    <t>AI Gateway + panel de costos</t>
  </si>
  <si>
    <t>Paso 3 (cierre) · Mapa de riesgos</t>
  </si>
  <si>
    <t>Convierte las amenazas de la hoja 2 en riesgos y agrega los de calidad y costo. Califica probabilidad e impacto en SU contexto (no copies el ejemplo). La columna 'Nivel (auto)' se calcula sola: Alto si probabilidad × impacto ≥ 6, Medio si 3–5, Bajo si ≤ 2. Define dueño y fecha de revisión para cada riesgo. Este mapa y el canvas son los entregables que presentas en la puesta en común.</t>
  </si>
  <si>
    <t>Riesgo</t>
  </si>
  <si>
    <t>Probabilidad</t>
  </si>
  <si>
    <t>Impacto</t>
  </si>
  <si>
    <t>Mitigación</t>
  </si>
  <si>
    <t>Fecha de revisión</t>
  </si>
  <si>
    <t>Nivel (auto)</t>
  </si>
  <si>
    <t>EJEMPLO · Prompt injection vía documento adjunto</t>
  </si>
  <si>
    <t>Media</t>
  </si>
  <si>
    <t>Alto</t>
  </si>
  <si>
    <t>Prompt Shields + revisión humana de adjuntos</t>
  </si>
  <si>
    <t>EJEMPLO · Costo fuera de rango por mal dimensionamiento</t>
  </si>
  <si>
    <t>Medio</t>
  </si>
  <si>
    <t>Límites y alertas en el AI Gateway; presupuesto por proyecto</t>
  </si>
  <si>
    <t>Plataforma</t>
  </si>
  <si>
    <t>Paso 5 · Backlog de decisiones y experimentos (5 min)</t>
  </si>
  <si>
    <t>Prioriza entre 3 y 5 ítems: decisiones por formalizar (ADR), PoC o experimentos, tests y habilitadores de plataforma. Cada ítem necesita dueño y un criterio de éxito verificable. Marca cuál es el PRIMER EXPERIMENTO: es lo que presentas en tu puesta en común (decisión principal, supuesto crítico, primer experimento).</t>
  </si>
  <si>
    <t>Ítem</t>
  </si>
  <si>
    <t>Tipo</t>
  </si>
  <si>
    <t>Prioridad</t>
  </si>
  <si>
    <t>Esfuerzo</t>
  </si>
  <si>
    <t>Criterio de éxito</t>
  </si>
  <si>
    <t>Dependencia</t>
  </si>
  <si>
    <t>EJEMPLO · PoC Session Gateway con usuarios piloto</t>
  </si>
  <si>
    <t>PoC / experimento</t>
  </si>
  <si>
    <t>Alta</t>
  </si>
  <si>
    <t>M (≤ 1 mes)</t>
  </si>
  <si>
    <t>Cero fugas entre usuarios en la prueba A-A-B con 50 usuarios sintéticos; p95 ≤ 8 s.</t>
  </si>
  <si>
    <t>ADR de sesión en revisión</t>
  </si>
  <si>
    <t>EJEMPLO · Gate de evaluación en el pipeline de CI/CD</t>
  </si>
  <si>
    <t>Habilitador</t>
  </si>
  <si>
    <t>GenAIOps</t>
  </si>
  <si>
    <t>El pipeline bloquea la promoción si groundedness cae bajo el umbral; resultados guardados por versión.</t>
  </si>
  <si>
    <t>Golden dataset v1</t>
  </si>
  <si>
    <t>Decisión (ADR)</t>
  </si>
  <si>
    <t>Baja</t>
  </si>
  <si>
    <t>Bajo</t>
  </si>
  <si>
    <t>S (≤ 1 semana)</t>
  </si>
  <si>
    <t>No requiere ADR</t>
  </si>
  <si>
    <t>Entrada del usuario</t>
  </si>
  <si>
    <t>Por redactar</t>
  </si>
  <si>
    <t>Test</t>
  </si>
  <si>
    <t>L (&gt; 1 mes)</t>
  </si>
  <si>
    <t>Llamada a herramienta</t>
  </si>
  <si>
    <t>Respuesta de herramienta</t>
  </si>
  <si>
    <t>Aceptada</t>
  </si>
  <si>
    <t>Salida al usuario</t>
  </si>
  <si>
    <t>Rechazada</t>
  </si>
  <si>
    <t>Red / egress</t>
  </si>
  <si>
    <t>Telemetría y logs</t>
  </si>
  <si>
    <t>Gateway (APIM)</t>
  </si>
  <si>
    <t>Pipeline CI/CD</t>
  </si>
  <si>
    <t>Proceso / humano</t>
  </si>
  <si>
    <t>Hoja de apoyo: alimenta las listas desplegables y el cálculo de «Nivel (auto)». Puedes ampliar las listas, pero no cambies el orden de Probabilidad (Baja, Media, Alta) ni de Impacto (Bajo, Medio, Alto).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</si>
</sst>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dd\-mm\-yyyy"/>
  </numFmts>
  <fonts count="10" x14ac:knownFonts="1">
    <font>
      <sz val="11"/>
      <color theme="1"/>
      <name val="Calibri"/>
      <family val="2"/>
      <scheme val="minor"/>
    </font>
    <font>
      <b/>
      <sz val="16"/>
      <color rgb="FFFFFFFF"/>
      <name val="Calibri"/>
    </font>
    <font>
      <i/>
      <sz val="10"/>
      <name val="Calibri"/>
    </font>
    <font>
      <b/>
      <sz val="11"/>
      <color rgb="FFFFFFFF"/>
      <name val="Calibri"/>
    </font>
    <font>
      <sz val="10"/>
      <name val="Calibri"/>
    </font>
    <font>
      <b/>
      <sz val="11"/>
      <color rgb="FF0B3C5D"/>
      <name val="Calibri"/>
    </font>
    <font>
      <b/>
      <sz val="10"/>
      <name val="Calibri"/>
    </font>
    <font>
      <b/>
      <sz val="14"/>
      <color rgb="FFFFFFFF"/>
      <name val="Calibri"/>
    </font>
    <font>
      <i/>
      <sz val="10"/>
      <color rgb="FF595959"/>
      <name val="Calibri"/>
    </font>
    <font>
      <i/>
      <sz val="9"/>
      <name val="Calibri"/>
    </font>
  </fonts>
  <fills count="8">
    <fill>
      <patternFill patternType="none"/>
    </fill>
    <fill>
      <patternFill patternType="gray125"/>
    </fill>
    <fill>
      <patternFill patternType="solid">
        <fgColor rgb="FF0B3C5D"/>
      </patternFill>
    </fill>
    <fill>
      <patternFill patternType="solid">
        <fgColor rgb="FF0078D4"/>
      </patternFill>
    </fill>
    <fill>
      <patternFill patternType="solid">
        <fgColor rgb="FFDEEBF7"/>
      </patternFill>
    </fill>
    <fill>
      <patternFill patternType="solid">
        <fgColor rgb="FFFFF2CC"/>
      </patternFill>
    </fill>
    <fill>
      <patternFill patternType="solid">
        <fgColor rgb="FFF2F2F2"/>
      </patternFill>
    </fill>
    <fill>
      <patternFill patternType="solid">
        <fgColor rgb="FF595959"/>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9">
    <xf numFmtId="0" fontId="0" fillId="0" borderId="0" xfId="0"/>
    <xf numFmtId="0" fontId="1" fillId="2" borderId="0" xfId="0" applyFont="1" applyFill="1" applyAlignment="1">
      <alignment vertical="top"/>
    </xf>
    <xf numFmtId="0" fontId="0" fillId="2" borderId="0" xfId="0" applyFill="1"/>
    <xf numFmtId="0" fontId="3" fillId="3" borderId="1" xfId="0" applyFont="1" applyFill="1" applyBorder="1" applyAlignment="1">
      <alignment vertical="top" wrapText="1"/>
    </xf>
    <xf numFmtId="0" fontId="4" fillId="0" borderId="1" xfId="0" applyFont="1" applyBorder="1" applyAlignment="1">
      <alignment vertical="top" wrapText="1"/>
    </xf>
    <xf numFmtId="0" fontId="5" fillId="0" borderId="0" xfId="0" applyFont="1" applyAlignment="1">
      <alignment vertical="top" wrapText="1"/>
    </xf>
    <xf numFmtId="0" fontId="6" fillId="0" borderId="1" xfId="0" applyFont="1" applyBorder="1" applyAlignment="1">
      <alignment vertical="top" wrapText="1"/>
    </xf>
    <xf numFmtId="0" fontId="4" fillId="0" borderId="0" xfId="0" applyFont="1" applyAlignment="1">
      <alignment vertical="top"/>
    </xf>
    <xf numFmtId="0" fontId="4" fillId="0" borderId="0" xfId="0" applyFont="1" applyAlignment="1">
      <alignment vertical="top" wrapText="1"/>
    </xf>
    <xf numFmtId="0" fontId="3" fillId="3" borderId="1" xfId="0" applyFont="1" applyFill="1" applyBorder="1" applyAlignment="1">
      <alignment horizontal="left" vertical="center" wrapText="1"/>
    </xf>
    <xf numFmtId="0" fontId="2" fillId="5" borderId="1" xfId="0" applyFont="1" applyFill="1" applyBorder="1" applyAlignment="1">
      <alignment vertical="top" wrapText="1"/>
    </xf>
    <xf numFmtId="0" fontId="6" fillId="6" borderId="1" xfId="0" applyFont="1" applyFill="1" applyBorder="1" applyAlignment="1">
      <alignment vertical="top" wrapText="1"/>
    </xf>
    <xf numFmtId="0" fontId="4" fillId="6" borderId="1" xfId="0" applyFont="1" applyFill="1" applyBorder="1" applyAlignment="1">
      <alignment vertical="top" wrapText="1"/>
    </xf>
    <xf numFmtId="0" fontId="8" fillId="6" borderId="1" xfId="0" applyFont="1" applyFill="1" applyBorder="1" applyAlignment="1">
      <alignment vertical="top" wrapText="1"/>
    </xf>
    <xf numFmtId="165" fontId="2" fillId="5" borderId="1" xfId="0" applyNumberFormat="1" applyFont="1" applyFill="1" applyBorder="1" applyAlignment="1">
      <alignment vertical="top" wrapText="1"/>
    </xf>
    <xf numFmtId="0" fontId="2" fillId="5" borderId="1" xfId="0" applyFont="1" applyFill="1" applyBorder="1" applyAlignment="1">
      <alignment horizontal="center" vertical="top" wrapText="1"/>
    </xf>
    <xf numFmtId="165" fontId="4" fillId="0" borderId="1" xfId="0" applyNumberFormat="1" applyFont="1" applyBorder="1" applyAlignment="1">
      <alignment vertical="top" wrapText="1"/>
    </xf>
    <xf numFmtId="0" fontId="4" fillId="0" borderId="1" xfId="0" applyFont="1" applyBorder="1" applyAlignment="1">
      <alignment horizontal="center" vertical="top" wrapText="1"/>
    </xf>
    <xf numFmtId="0" fontId="3" fillId="7" borderId="0" xfId="0" applyFont="1" applyFill="1" applyAlignment="1">
      <alignment vertical="center" wrapText="1"/>
    </xf>
    <xf numFmtId="0" fontId="4" fillId="0" borderId="0" xfId="0" applyFont="1"/>
    <xf numFmtId="0" fontId="9" fillId="0" borderId="0" xfId="0" applyFont="1"/>
    <xf numFmtId="0" fontId="4" fillId="0" borderId="0" xfId="0" applyFont="1" applyAlignment="1">
      <alignment vertical="top" wrapText="1"/>
    </xf>
    <xf numFmtId="0" fontId="0" fillId="0" borderId="0" xfId="0"/>
    <xf numFmtId="0" fontId="4" fillId="0" borderId="1" xfId="0" applyFont="1" applyBorder="1" applyAlignment="1">
      <alignment vertical="top" wrapText="1"/>
    </xf>
    <xf numFmtId="0" fontId="0" fillId="0" borderId="2" xfId="0" applyBorder="1"/>
    <xf numFmtId="0" fontId="0" fillId="0" borderId="3" xfId="0" applyBorder="1"/>
    <xf numFmtId="0" fontId="2" fillId="0" borderId="0" xfId="0" applyFont="1" applyAlignment="1">
      <alignment vertical="top" wrapText="1"/>
    </xf>
    <xf numFmtId="0" fontId="2" fillId="4" borderId="0" xfId="0" applyFont="1" applyFill="1" applyAlignment="1">
      <alignment vertical="top" wrapText="1"/>
    </xf>
    <xf numFmtId="0" fontId="7" fillId="2" borderId="0" xfId="0" applyFont="1" applyFill="1" applyAlignment="1">
      <alignment vertical="center"/>
    </xf>
  </cellXfs>
  <cellStyles count="1">
    <cellStyle name="Normal" xfId="0" builtinId="0"/>
  </cellStyles>
  <dxfs count="12">
    <dxf>
      <font>
        <b/>
        <color rgb="FF375623"/>
      </font>
      <fill>
        <patternFill patternType="solid">
          <fgColor rgb="FFC6E0B4"/>
          <bgColor rgb="FFC6E0B4"/>
        </patternFill>
      </fill>
    </dxf>
    <dxf>
      <font>
        <b/>
        <color rgb="FF7F6000"/>
      </font>
      <fill>
        <patternFill patternType="solid">
          <fgColor rgb="FFFFE699"/>
          <bgColor rgb="FFFFE699"/>
        </patternFill>
      </fill>
    </dxf>
    <dxf>
      <font>
        <b/>
        <color rgb="FF9C0006"/>
      </font>
      <fill>
        <patternFill patternType="solid">
          <fgColor rgb="FFF8CBAD"/>
          <bgColor rgb="FFF8CBAD"/>
        </patternFill>
      </fill>
    </dxf>
    <dxf>
      <font>
        <b/>
        <color rgb="FF375623"/>
      </font>
      <fill>
        <patternFill patternType="solid">
          <fgColor rgb="FFC6E0B4"/>
          <bgColor rgb="FFC6E0B4"/>
        </patternFill>
      </fill>
    </dxf>
    <dxf>
      <font>
        <b/>
        <color rgb="FF7F6000"/>
      </font>
      <fill>
        <patternFill patternType="solid">
          <fgColor rgb="FFFFE699"/>
          <bgColor rgb="FFFFE699"/>
        </patternFill>
      </fill>
    </dxf>
    <dxf>
      <font>
        <b/>
        <color rgb="FF9C0006"/>
      </font>
      <fill>
        <patternFill patternType="solid">
          <fgColor rgb="FFF8CBAD"/>
          <bgColor rgb="FFF8CBAD"/>
        </patternFill>
      </fill>
    </dxf>
    <dxf>
      <font>
        <b/>
        <color rgb="FF375623"/>
      </font>
      <fill>
        <patternFill patternType="solid">
          <fgColor rgb="FFC6E0B4"/>
          <bgColor rgb="FFC6E0B4"/>
        </patternFill>
      </fill>
    </dxf>
    <dxf>
      <font>
        <b/>
        <color rgb="FF7F6000"/>
      </font>
      <fill>
        <patternFill patternType="solid">
          <fgColor rgb="FFFFE699"/>
          <bgColor rgb="FFFFE699"/>
        </patternFill>
      </fill>
    </dxf>
    <dxf>
      <font>
        <b/>
        <color rgb="FF9C0006"/>
      </font>
      <fill>
        <patternFill patternType="solid">
          <fgColor rgb="FFF8CBAD"/>
          <bgColor rgb="FFF8CBAD"/>
        </patternFill>
      </fill>
    </dxf>
    <dxf>
      <font>
        <b/>
        <color rgb="FF375623"/>
      </font>
      <fill>
        <patternFill patternType="solid">
          <fgColor rgb="FFC6E0B4"/>
          <bgColor rgb="FFC6E0B4"/>
        </patternFill>
      </fill>
    </dxf>
    <dxf>
      <font>
        <b/>
        <color rgb="FF7F6000"/>
      </font>
      <fill>
        <patternFill patternType="solid">
          <fgColor rgb="FFFFE699"/>
          <bgColor rgb="FFFFE699"/>
        </patternFill>
      </fill>
    </dxf>
    <dxf>
      <font>
        <b/>
        <color rgb="FF9C0006"/>
      </font>
      <fill>
        <patternFill patternType="solid">
          <fgColor rgb="FFF8CBAD"/>
          <bgColor rgb="FFF8CBAD"/>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B3C5D"/>
    <pageSetUpPr fitToPage="1"/>
  </sheetPr>
  <dimension ref="A1:D27"/>
  <sheetViews>
    <sheetView showGridLines="0" tabSelected="1" workbookViewId="0">
      <pane ySplit="1" topLeftCell="A2" activePane="bottomLeft" state="frozen"/>
      <selection pane="bottomLeft"/>
    </sheetView>
  </sheetViews>
  <sheetFormatPr defaultRowHeight="14.25" x14ac:dyDescent="0.45"/>
  <cols>
    <col min="1" max="1" width="26" customWidth="1"/>
    <col min="2" max="2" width="40" customWidth="1"/>
    <col min="3" max="3" width="14" customWidth="1"/>
    <col min="4" max="4" width="78" customWidth="1"/>
  </cols>
  <sheetData>
    <row r="1" spans="1:4" ht="30" customHeight="1" x14ac:dyDescent="0.45">
      <c r="A1" s="1" t="s">
        <v>0</v>
      </c>
      <c r="B1" s="2"/>
      <c r="C1" s="2"/>
      <c r="D1" s="2"/>
    </row>
    <row r="2" spans="1:4" ht="32" customHeight="1" x14ac:dyDescent="0.45">
      <c r="A2" s="26" t="s">
        <v>1</v>
      </c>
      <c r="B2" s="22"/>
      <c r="C2" s="22"/>
      <c r="D2" s="22"/>
    </row>
    <row r="4" spans="1:4" x14ac:dyDescent="0.45">
      <c r="A4" s="3" t="s">
        <v>2</v>
      </c>
      <c r="B4" s="3" t="s">
        <v>3</v>
      </c>
      <c r="C4" s="3" t="s">
        <v>4</v>
      </c>
      <c r="D4" s="3" t="s">
        <v>5</v>
      </c>
    </row>
    <row r="5" spans="1:4" ht="32" customHeight="1" x14ac:dyDescent="0.45">
      <c r="A5" s="4" t="s">
        <v>6</v>
      </c>
      <c r="B5" s="4" t="s">
        <v>7</v>
      </c>
      <c r="C5" s="4" t="s">
        <v>8</v>
      </c>
      <c r="D5" s="4" t="s">
        <v>9</v>
      </c>
    </row>
    <row r="6" spans="1:4" ht="32" customHeight="1" x14ac:dyDescent="0.45">
      <c r="A6" s="4" t="s">
        <v>10</v>
      </c>
      <c r="B6" s="4" t="s">
        <v>11</v>
      </c>
      <c r="C6" s="4" t="s">
        <v>12</v>
      </c>
      <c r="D6" s="4" t="s">
        <v>13</v>
      </c>
    </row>
    <row r="7" spans="1:4" ht="32" customHeight="1" x14ac:dyDescent="0.45">
      <c r="A7" s="4" t="s">
        <v>14</v>
      </c>
      <c r="B7" s="4" t="s">
        <v>15</v>
      </c>
      <c r="C7" s="4" t="s">
        <v>16</v>
      </c>
      <c r="D7" s="4" t="s">
        <v>17</v>
      </c>
    </row>
    <row r="8" spans="1:4" ht="32" customHeight="1" x14ac:dyDescent="0.45">
      <c r="A8" s="4" t="s">
        <v>18</v>
      </c>
      <c r="B8" s="4" t="s">
        <v>19</v>
      </c>
      <c r="C8" s="4" t="s">
        <v>20</v>
      </c>
      <c r="D8" s="4" t="s">
        <v>21</v>
      </c>
    </row>
    <row r="9" spans="1:4" ht="32" customHeight="1" x14ac:dyDescent="0.45">
      <c r="A9" s="4" t="s">
        <v>22</v>
      </c>
      <c r="B9" s="4" t="s">
        <v>23</v>
      </c>
      <c r="C9" s="4" t="s">
        <v>8</v>
      </c>
      <c r="D9" s="4" t="s">
        <v>24</v>
      </c>
    </row>
    <row r="10" spans="1:4" ht="32" customHeight="1" x14ac:dyDescent="0.45">
      <c r="A10" s="4" t="s">
        <v>25</v>
      </c>
      <c r="B10" s="4" t="s">
        <v>26</v>
      </c>
      <c r="C10" s="4" t="s">
        <v>27</v>
      </c>
      <c r="D10" s="4" t="s">
        <v>28</v>
      </c>
    </row>
    <row r="12" spans="1:4" x14ac:dyDescent="0.45">
      <c r="A12" s="5" t="s">
        <v>29</v>
      </c>
    </row>
    <row r="13" spans="1:4" x14ac:dyDescent="0.45">
      <c r="A13" s="6" t="s">
        <v>30</v>
      </c>
      <c r="B13" s="23" t="s">
        <v>31</v>
      </c>
      <c r="C13" s="24"/>
      <c r="D13" s="25"/>
    </row>
    <row r="14" spans="1:4" x14ac:dyDescent="0.45">
      <c r="A14" s="6" t="s">
        <v>32</v>
      </c>
      <c r="B14" s="23" t="s">
        <v>33</v>
      </c>
      <c r="C14" s="24"/>
      <c r="D14" s="25"/>
    </row>
    <row r="15" spans="1:4" x14ac:dyDescent="0.45">
      <c r="A15" s="6" t="s">
        <v>34</v>
      </c>
      <c r="B15" s="23" t="s">
        <v>35</v>
      </c>
      <c r="C15" s="24"/>
      <c r="D15" s="25"/>
    </row>
    <row r="16" spans="1:4" x14ac:dyDescent="0.45">
      <c r="A16" s="6" t="s">
        <v>36</v>
      </c>
      <c r="B16" s="23" t="s">
        <v>37</v>
      </c>
      <c r="C16" s="24"/>
      <c r="D16" s="25"/>
    </row>
    <row r="18" spans="1:4" x14ac:dyDescent="0.45">
      <c r="A18" s="5" t="s">
        <v>38</v>
      </c>
    </row>
    <row r="19" spans="1:4" ht="30" customHeight="1" x14ac:dyDescent="0.45">
      <c r="A19" s="7" t="s">
        <v>39</v>
      </c>
      <c r="B19" s="21" t="s">
        <v>40</v>
      </c>
      <c r="C19" s="22"/>
      <c r="D19" s="22"/>
    </row>
    <row r="20" spans="1:4" ht="30" customHeight="1" x14ac:dyDescent="0.45">
      <c r="A20" s="7" t="s">
        <v>39</v>
      </c>
      <c r="B20" s="21" t="s">
        <v>41</v>
      </c>
      <c r="C20" s="22"/>
      <c r="D20" s="22"/>
    </row>
    <row r="21" spans="1:4" ht="30" customHeight="1" x14ac:dyDescent="0.45">
      <c r="A21" s="7" t="s">
        <v>39</v>
      </c>
      <c r="B21" s="21" t="s">
        <v>42</v>
      </c>
      <c r="C21" s="22"/>
      <c r="D21" s="22"/>
    </row>
    <row r="22" spans="1:4" ht="30" customHeight="1" x14ac:dyDescent="0.45">
      <c r="A22" s="7" t="s">
        <v>39</v>
      </c>
      <c r="B22" s="21" t="s">
        <v>43</v>
      </c>
      <c r="C22" s="22"/>
      <c r="D22" s="22"/>
    </row>
    <row r="23" spans="1:4" ht="30" customHeight="1" x14ac:dyDescent="0.45">
      <c r="A23" s="7" t="s">
        <v>39</v>
      </c>
      <c r="B23" s="21" t="s">
        <v>44</v>
      </c>
      <c r="C23" s="22"/>
      <c r="D23" s="22"/>
    </row>
    <row r="24" spans="1:4" ht="30" customHeight="1" x14ac:dyDescent="0.45">
      <c r="A24" s="7" t="s">
        <v>39</v>
      </c>
      <c r="B24" s="21" t="s">
        <v>45</v>
      </c>
      <c r="C24" s="22"/>
      <c r="D24" s="22"/>
    </row>
    <row r="26" spans="1:4" x14ac:dyDescent="0.45">
      <c r="A26" s="5" t="s">
        <v>46</v>
      </c>
    </row>
    <row r="27" spans="1:4" x14ac:dyDescent="0.45">
      <c r="A27" s="8" t="s">
        <v>47</v>
      </c>
      <c r="B27" s="21" t="s">
        <v>48</v>
      </c>
      <c r="C27" s="22"/>
      <c r="D27" s="22"/>
    </row>
  </sheetData>
  <mergeCells count="12">
    <mergeCell ref="B13:D13"/>
    <mergeCell ref="B21:D21"/>
    <mergeCell ref="A2:D2"/>
    <mergeCell ref="B15:D15"/>
    <mergeCell ref="B24:D24"/>
    <mergeCell ref="B16:D16"/>
    <mergeCell ref="B20:D20"/>
    <mergeCell ref="B19:D19"/>
    <mergeCell ref="B14:D14"/>
    <mergeCell ref="B23:D23"/>
    <mergeCell ref="B22:D22"/>
    <mergeCell ref="B27:D27"/>
  </mergeCells>
  <pageMargins left="0.75" right="0.75" top="1" bottom="1" header="0.5" footer="0.5"/>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8D4"/>
    <pageSetUpPr fitToPage="1"/>
  </sheetPr>
  <dimension ref="A1:H13"/>
  <sheetViews>
    <sheetView workbookViewId="0">
      <pane ySplit="3" topLeftCell="A4" activePane="bottomLeft" state="frozen"/>
      <selection pane="bottomLeft"/>
    </sheetView>
  </sheetViews>
  <sheetFormatPr defaultRowHeight="14.25" x14ac:dyDescent="0.45"/>
  <cols>
    <col min="1" max="1" width="18" customWidth="1"/>
    <col min="2" max="2" width="44" customWidth="1"/>
    <col min="3" max="6" width="34" customWidth="1"/>
    <col min="7" max="7" width="18" customWidth="1"/>
    <col min="8" max="8" width="30" customWidth="1"/>
  </cols>
  <sheetData>
    <row r="1" spans="1:8" ht="26" customHeight="1" x14ac:dyDescent="0.45">
      <c r="A1" s="28" t="s">
        <v>49</v>
      </c>
      <c r="B1" s="22"/>
      <c r="C1" s="22"/>
      <c r="D1" s="22"/>
      <c r="E1" s="22"/>
      <c r="F1" s="22"/>
      <c r="G1" s="22"/>
      <c r="H1" s="22"/>
    </row>
    <row r="2" spans="1:8" ht="36" customHeight="1" x14ac:dyDescent="0.45">
      <c r="A2" s="27" t="s">
        <v>50</v>
      </c>
      <c r="B2" s="22"/>
      <c r="C2" s="22"/>
      <c r="D2" s="22"/>
      <c r="E2" s="22"/>
      <c r="F2" s="22"/>
      <c r="G2" s="22"/>
      <c r="H2" s="22"/>
    </row>
    <row r="3" spans="1:8" ht="24" customHeight="1" x14ac:dyDescent="0.45">
      <c r="A3" s="9" t="s">
        <v>51</v>
      </c>
      <c r="B3" s="9" t="s">
        <v>52</v>
      </c>
      <c r="C3" s="9" t="s">
        <v>53</v>
      </c>
      <c r="D3" s="9" t="s">
        <v>54</v>
      </c>
      <c r="E3" s="9" t="s">
        <v>55</v>
      </c>
      <c r="F3" s="9" t="s">
        <v>56</v>
      </c>
      <c r="G3" s="9" t="s">
        <v>57</v>
      </c>
      <c r="H3" s="9" t="s">
        <v>58</v>
      </c>
    </row>
    <row r="4" spans="1:8" ht="58.05" customHeight="1" x14ac:dyDescent="0.45">
      <c r="A4" s="10" t="s">
        <v>59</v>
      </c>
      <c r="B4" s="10" t="s">
        <v>60</v>
      </c>
      <c r="C4" s="10" t="s">
        <v>61</v>
      </c>
      <c r="D4" s="10" t="s">
        <v>62</v>
      </c>
      <c r="E4" s="10" t="s">
        <v>63</v>
      </c>
      <c r="F4" s="10" t="s">
        <v>64</v>
      </c>
      <c r="G4" s="10" t="s">
        <v>65</v>
      </c>
      <c r="H4" s="10"/>
    </row>
    <row r="5" spans="1:8" ht="71.55" customHeight="1" x14ac:dyDescent="0.45">
      <c r="A5" s="10" t="s">
        <v>66</v>
      </c>
      <c r="B5" s="10" t="s">
        <v>67</v>
      </c>
      <c r="C5" s="10" t="s">
        <v>68</v>
      </c>
      <c r="D5" s="10" t="s">
        <v>69</v>
      </c>
      <c r="E5" s="10" t="s">
        <v>70</v>
      </c>
      <c r="F5" s="10" t="s">
        <v>71</v>
      </c>
      <c r="G5" s="10" t="s">
        <v>72</v>
      </c>
      <c r="H5" s="10"/>
    </row>
    <row r="6" spans="1:8" ht="31.05" customHeight="1" x14ac:dyDescent="0.45">
      <c r="A6" s="11" t="s">
        <v>73</v>
      </c>
      <c r="B6" s="12"/>
      <c r="C6" s="13" t="s">
        <v>74</v>
      </c>
      <c r="D6" s="12"/>
      <c r="E6" s="12"/>
      <c r="F6" s="12"/>
      <c r="G6" s="12"/>
      <c r="H6" s="13" t="s">
        <v>75</v>
      </c>
    </row>
    <row r="7" spans="1:8" ht="31.05" customHeight="1" x14ac:dyDescent="0.45">
      <c r="A7" s="11" t="s">
        <v>76</v>
      </c>
      <c r="B7" s="12"/>
      <c r="C7" s="13" t="s">
        <v>77</v>
      </c>
      <c r="D7" s="12"/>
      <c r="E7" s="12"/>
      <c r="F7" s="12"/>
      <c r="G7" s="12"/>
      <c r="H7" s="13" t="s">
        <v>78</v>
      </c>
    </row>
    <row r="8" spans="1:8" ht="31.05" customHeight="1" x14ac:dyDescent="0.45">
      <c r="A8" s="11" t="s">
        <v>79</v>
      </c>
      <c r="B8" s="12"/>
      <c r="C8" s="13" t="s">
        <v>80</v>
      </c>
      <c r="D8" s="12"/>
      <c r="E8" s="12"/>
      <c r="F8" s="12"/>
      <c r="G8" s="12"/>
      <c r="H8" s="13" t="s">
        <v>81</v>
      </c>
    </row>
    <row r="9" spans="1:8" ht="31.05" customHeight="1" x14ac:dyDescent="0.45">
      <c r="A9" s="11" t="s">
        <v>82</v>
      </c>
      <c r="B9" s="12"/>
      <c r="C9" s="13" t="s">
        <v>83</v>
      </c>
      <c r="D9" s="12"/>
      <c r="E9" s="12"/>
      <c r="F9" s="12"/>
      <c r="G9" s="12"/>
      <c r="H9" s="13" t="s">
        <v>84</v>
      </c>
    </row>
    <row r="10" spans="1:8" ht="31.05" customHeight="1" x14ac:dyDescent="0.45">
      <c r="A10" s="11" t="s">
        <v>85</v>
      </c>
      <c r="B10" s="12"/>
      <c r="C10" s="13" t="s">
        <v>86</v>
      </c>
      <c r="D10" s="12"/>
      <c r="E10" s="12"/>
      <c r="F10" s="12"/>
      <c r="G10" s="12"/>
      <c r="H10" s="13" t="s">
        <v>87</v>
      </c>
    </row>
    <row r="11" spans="1:8" ht="32" customHeight="1" x14ac:dyDescent="0.45">
      <c r="A11" s="4"/>
      <c r="B11" s="4"/>
      <c r="C11" s="4"/>
      <c r="D11" s="4"/>
      <c r="E11" s="4"/>
      <c r="F11" s="4"/>
      <c r="G11" s="4"/>
      <c r="H11" s="4"/>
    </row>
    <row r="12" spans="1:8" ht="32" customHeight="1" x14ac:dyDescent="0.45">
      <c r="A12" s="4"/>
      <c r="B12" s="4"/>
      <c r="C12" s="4"/>
      <c r="D12" s="4"/>
      <c r="E12" s="4"/>
      <c r="F12" s="4"/>
      <c r="G12" s="4"/>
      <c r="H12" s="4"/>
    </row>
    <row r="13" spans="1:8" ht="32" customHeight="1" x14ac:dyDescent="0.45">
      <c r="A13" s="4"/>
      <c r="B13" s="4"/>
      <c r="C13" s="4"/>
      <c r="D13" s="4"/>
      <c r="E13" s="4"/>
      <c r="F13" s="4"/>
      <c r="G13" s="4"/>
      <c r="H13" s="4"/>
    </row>
  </sheetData>
  <mergeCells count="2">
    <mergeCell ref="A2:H2"/>
    <mergeCell ref="A1:H1"/>
  </mergeCells>
  <pageMargins left="0.75" right="0.75" top="1" bottom="1" header="0.5" footer="0.5"/>
  <pageSetup paperSize="9" fitToHeight="0" orientation="landscape"/>
  <extLst>
    <ext xmlns:x14="http://schemas.microsoft.com/office/spreadsheetml/2009/9/main" uri="{CCE6A557-97BC-4b89-ADB6-D9C93CAAB3DF}">
      <x14:dataValidations xmlns:xm="http://schemas.microsoft.com/office/excel/2006/main" count="1">
        <x14:dataValidation type="list" allowBlank="1" showInputMessage="1" showErrorMessage="1" errorTitle="Valor no válido" error="Elige un valor de la lista (Estado ADR)." promptTitle="Estado ADR" prompt="Elige de la lista" xr:uid="{00000000-0002-0000-0100-000000000000}">
          <x14:formula1>
            <xm:f>Listas!$F$2:$F$7</xm:f>
          </x14:formula1>
          <xm:sqref>G4:G43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78D4"/>
    <pageSetUpPr fitToPage="1"/>
  </sheetPr>
  <dimension ref="A1:F13"/>
  <sheetViews>
    <sheetView workbookViewId="0">
      <pane ySplit="3" topLeftCell="A4" activePane="bottomLeft" state="frozen"/>
      <selection pane="bottomLeft"/>
    </sheetView>
  </sheetViews>
  <sheetFormatPr defaultRowHeight="14.25" x14ac:dyDescent="0.45"/>
  <cols>
    <col min="1" max="1" width="36" customWidth="1"/>
    <col min="2" max="2" width="26" customWidth="1"/>
    <col min="3" max="3" width="38" customWidth="1"/>
    <col min="4" max="4" width="48" customWidth="1"/>
    <col min="5" max="5" width="26" customWidth="1"/>
    <col min="6" max="6" width="18" customWidth="1"/>
  </cols>
  <sheetData>
    <row r="1" spans="1:6" ht="26" customHeight="1" x14ac:dyDescent="0.45">
      <c r="A1" s="28" t="s">
        <v>88</v>
      </c>
      <c r="B1" s="22"/>
      <c r="C1" s="22"/>
      <c r="D1" s="22"/>
      <c r="E1" s="22"/>
      <c r="F1" s="22"/>
    </row>
    <row r="2" spans="1:6" ht="50" customHeight="1" x14ac:dyDescent="0.45">
      <c r="A2" s="27" t="s">
        <v>89</v>
      </c>
      <c r="B2" s="22"/>
      <c r="C2" s="22"/>
      <c r="D2" s="22"/>
      <c r="E2" s="22"/>
      <c r="F2" s="22"/>
    </row>
    <row r="3" spans="1:6" ht="24" customHeight="1" x14ac:dyDescent="0.45">
      <c r="A3" s="9" t="s">
        <v>90</v>
      </c>
      <c r="B3" s="9" t="s">
        <v>91</v>
      </c>
      <c r="C3" s="9" t="s">
        <v>92</v>
      </c>
      <c r="D3" s="9" t="s">
        <v>93</v>
      </c>
      <c r="E3" s="9" t="s">
        <v>94</v>
      </c>
      <c r="F3" s="9" t="s">
        <v>95</v>
      </c>
    </row>
    <row r="4" spans="1:6" ht="58.05" customHeight="1" x14ac:dyDescent="0.45">
      <c r="A4" s="10" t="s">
        <v>96</v>
      </c>
      <c r="B4" s="10" t="s">
        <v>97</v>
      </c>
      <c r="C4" s="10" t="s">
        <v>98</v>
      </c>
      <c r="D4" s="10" t="s">
        <v>99</v>
      </c>
      <c r="E4" s="10" t="s">
        <v>100</v>
      </c>
      <c r="F4" s="10" t="s">
        <v>101</v>
      </c>
    </row>
    <row r="5" spans="1:6" ht="58.05" customHeight="1" x14ac:dyDescent="0.45">
      <c r="A5" s="10" t="s">
        <v>102</v>
      </c>
      <c r="B5" s="10" t="s">
        <v>103</v>
      </c>
      <c r="C5" s="10" t="s">
        <v>104</v>
      </c>
      <c r="D5" s="10" t="s">
        <v>105</v>
      </c>
      <c r="E5" s="10" t="s">
        <v>106</v>
      </c>
      <c r="F5" s="10" t="s">
        <v>107</v>
      </c>
    </row>
    <row r="6" spans="1:6" ht="32" customHeight="1" x14ac:dyDescent="0.45">
      <c r="A6" s="4"/>
      <c r="B6" s="4"/>
      <c r="C6" s="4"/>
      <c r="D6" s="4"/>
      <c r="E6" s="4"/>
      <c r="F6" s="4"/>
    </row>
    <row r="7" spans="1:6" ht="32" customHeight="1" x14ac:dyDescent="0.45">
      <c r="A7" s="4"/>
      <c r="B7" s="4"/>
      <c r="C7" s="4"/>
      <c r="D7" s="4"/>
      <c r="E7" s="4"/>
      <c r="F7" s="4"/>
    </row>
    <row r="8" spans="1:6" ht="32" customHeight="1" x14ac:dyDescent="0.45">
      <c r="A8" s="4"/>
      <c r="B8" s="4"/>
      <c r="C8" s="4"/>
      <c r="D8" s="4"/>
      <c r="E8" s="4"/>
      <c r="F8" s="4"/>
    </row>
    <row r="9" spans="1:6" ht="32" customHeight="1" x14ac:dyDescent="0.45">
      <c r="A9" s="4"/>
      <c r="B9" s="4"/>
      <c r="C9" s="4"/>
      <c r="D9" s="4"/>
      <c r="E9" s="4"/>
      <c r="F9" s="4"/>
    </row>
    <row r="10" spans="1:6" ht="32" customHeight="1" x14ac:dyDescent="0.45">
      <c r="A10" s="4"/>
      <c r="B10" s="4"/>
      <c r="C10" s="4"/>
      <c r="D10" s="4"/>
      <c r="E10" s="4"/>
      <c r="F10" s="4"/>
    </row>
    <row r="11" spans="1:6" ht="32" customHeight="1" x14ac:dyDescent="0.45">
      <c r="A11" s="4"/>
      <c r="B11" s="4"/>
      <c r="C11" s="4"/>
      <c r="D11" s="4"/>
      <c r="E11" s="4"/>
      <c r="F11" s="4"/>
    </row>
    <row r="12" spans="1:6" ht="32" customHeight="1" x14ac:dyDescent="0.45">
      <c r="A12" s="4"/>
      <c r="B12" s="4"/>
      <c r="C12" s="4"/>
      <c r="D12" s="4"/>
      <c r="E12" s="4"/>
      <c r="F12" s="4"/>
    </row>
    <row r="13" spans="1:6" ht="32" customHeight="1" x14ac:dyDescent="0.45">
      <c r="A13" s="4"/>
      <c r="B13" s="4"/>
      <c r="C13" s="4"/>
      <c r="D13" s="4"/>
      <c r="E13" s="4"/>
      <c r="F13" s="4"/>
    </row>
  </sheetData>
  <mergeCells count="2">
    <mergeCell ref="A2:F2"/>
    <mergeCell ref="A1:F1"/>
  </mergeCells>
  <pageMargins left="0.75" right="0.75" top="1" bottom="1" header="0.5" footer="0.5"/>
  <pageSetup paperSize="9" fitToHeight="0" orientation="landscape"/>
  <extLst>
    <ext xmlns:x14="http://schemas.microsoft.com/office/spreadsheetml/2009/9/main" uri="{CCE6A557-97BC-4b89-ADB6-D9C93CAAB3DF}">
      <x14:dataValidations xmlns:xm="http://schemas.microsoft.com/office/excel/2006/main" count="1">
        <x14:dataValidation type="list" errorStyle="information" allowBlank="1" showInputMessage="1" showErrorMessage="1" errorTitle="Valor fuera de la lista" error="Puedes usar otro valor si ninguno de la lista aplica." promptTitle="Punto de aplicación" prompt="Elige de la lista" xr:uid="{00000000-0002-0000-0200-000000000000}">
          <x14:formula1>
            <xm:f>Listas!$G$2:$G$12</xm:f>
          </x14:formula1>
          <xm:sqref>E4:E43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78D4"/>
    <pageSetUpPr fitToPage="1"/>
  </sheetPr>
  <dimension ref="A1:F12"/>
  <sheetViews>
    <sheetView workbookViewId="0">
      <pane ySplit="3" topLeftCell="A4" activePane="bottomLeft" state="frozen"/>
      <selection pane="bottomLeft"/>
    </sheetView>
  </sheetViews>
  <sheetFormatPr defaultRowHeight="14.25" x14ac:dyDescent="0.45"/>
  <cols>
    <col min="1" max="1" width="20" customWidth="1"/>
    <col min="2" max="2" width="40" customWidth="1"/>
    <col min="3" max="3" width="30" customWidth="1"/>
    <col min="4" max="4" width="34" customWidth="1"/>
    <col min="5" max="6" width="38" customWidth="1"/>
  </cols>
  <sheetData>
    <row r="1" spans="1:6" ht="26" customHeight="1" x14ac:dyDescent="0.45">
      <c r="A1" s="28" t="s">
        <v>108</v>
      </c>
      <c r="B1" s="22"/>
      <c r="C1" s="22"/>
      <c r="D1" s="22"/>
      <c r="E1" s="22"/>
      <c r="F1" s="22"/>
    </row>
    <row r="2" spans="1:6" ht="36" customHeight="1" x14ac:dyDescent="0.45">
      <c r="A2" s="27" t="s">
        <v>109</v>
      </c>
      <c r="B2" s="22"/>
      <c r="C2" s="22"/>
      <c r="D2" s="22"/>
      <c r="E2" s="22"/>
      <c r="F2" s="22"/>
    </row>
    <row r="3" spans="1:6" ht="24" customHeight="1" x14ac:dyDescent="0.45">
      <c r="A3" s="9" t="s">
        <v>51</v>
      </c>
      <c r="B3" s="9" t="s">
        <v>110</v>
      </c>
      <c r="C3" s="9" t="s">
        <v>111</v>
      </c>
      <c r="D3" s="9" t="s">
        <v>112</v>
      </c>
      <c r="E3" s="9" t="s">
        <v>113</v>
      </c>
      <c r="F3" s="9" t="s">
        <v>114</v>
      </c>
    </row>
    <row r="4" spans="1:6" ht="44.55" customHeight="1" x14ac:dyDescent="0.45">
      <c r="A4" s="10" t="s">
        <v>115</v>
      </c>
      <c r="B4" s="10" t="s">
        <v>116</v>
      </c>
      <c r="C4" s="10" t="s">
        <v>117</v>
      </c>
      <c r="D4" s="10" t="s">
        <v>118</v>
      </c>
      <c r="E4" s="10" t="s">
        <v>119</v>
      </c>
      <c r="F4" s="10" t="s">
        <v>120</v>
      </c>
    </row>
    <row r="5" spans="1:6" ht="31.05" customHeight="1" x14ac:dyDescent="0.45">
      <c r="A5" s="10" t="s">
        <v>121</v>
      </c>
      <c r="B5" s="10" t="s">
        <v>122</v>
      </c>
      <c r="C5" s="10" t="s">
        <v>123</v>
      </c>
      <c r="D5" s="10" t="s">
        <v>124</v>
      </c>
      <c r="E5" s="10" t="s">
        <v>125</v>
      </c>
      <c r="F5" s="10" t="s">
        <v>126</v>
      </c>
    </row>
    <row r="6" spans="1:6" ht="30" customHeight="1" x14ac:dyDescent="0.45">
      <c r="A6" s="11" t="s">
        <v>127</v>
      </c>
      <c r="B6" s="13" t="s">
        <v>128</v>
      </c>
      <c r="C6" s="12"/>
      <c r="D6" s="13" t="s">
        <v>129</v>
      </c>
      <c r="E6" s="12"/>
      <c r="F6" s="12"/>
    </row>
    <row r="7" spans="1:6" ht="30" customHeight="1" x14ac:dyDescent="0.45">
      <c r="A7" s="11" t="s">
        <v>130</v>
      </c>
      <c r="B7" s="13" t="s">
        <v>131</v>
      </c>
      <c r="C7" s="12"/>
      <c r="D7" s="13" t="s">
        <v>132</v>
      </c>
      <c r="E7" s="12"/>
      <c r="F7" s="12"/>
    </row>
    <row r="8" spans="1:6" ht="31.05" customHeight="1" x14ac:dyDescent="0.45">
      <c r="A8" s="11" t="s">
        <v>101</v>
      </c>
      <c r="B8" s="13" t="s">
        <v>133</v>
      </c>
      <c r="C8" s="12"/>
      <c r="D8" s="13" t="s">
        <v>134</v>
      </c>
      <c r="E8" s="12"/>
      <c r="F8" s="12"/>
    </row>
    <row r="9" spans="1:6" ht="30" customHeight="1" x14ac:dyDescent="0.45">
      <c r="A9" s="11" t="s">
        <v>135</v>
      </c>
      <c r="B9" s="13" t="s">
        <v>136</v>
      </c>
      <c r="C9" s="12"/>
      <c r="D9" s="13" t="s">
        <v>137</v>
      </c>
      <c r="E9" s="12"/>
      <c r="F9" s="12"/>
    </row>
    <row r="10" spans="1:6" ht="32" customHeight="1" x14ac:dyDescent="0.45">
      <c r="A10" s="4"/>
      <c r="B10" s="4"/>
      <c r="C10" s="4"/>
      <c r="D10" s="4"/>
      <c r="E10" s="4"/>
      <c r="F10" s="4"/>
    </row>
    <row r="11" spans="1:6" ht="32" customHeight="1" x14ac:dyDescent="0.45">
      <c r="A11" s="4"/>
      <c r="B11" s="4"/>
      <c r="C11" s="4"/>
      <c r="D11" s="4"/>
      <c r="E11" s="4"/>
      <c r="F11" s="4"/>
    </row>
    <row r="12" spans="1:6" ht="32" customHeight="1" x14ac:dyDescent="0.45">
      <c r="A12" s="4"/>
      <c r="B12" s="4"/>
      <c r="C12" s="4"/>
      <c r="D12" s="4"/>
      <c r="E12" s="4"/>
      <c r="F12" s="4"/>
    </row>
  </sheetData>
  <mergeCells count="2">
    <mergeCell ref="A2:F2"/>
    <mergeCell ref="A1:F1"/>
  </mergeCells>
  <pageMargins left="0.75" right="0.75" top="1" bottom="1" header="0.5" footer="0.5"/>
  <pageSetup paperSize="9"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78D4"/>
    <pageSetUpPr fitToPage="1"/>
  </sheetPr>
  <dimension ref="A1:G13"/>
  <sheetViews>
    <sheetView workbookViewId="0">
      <pane ySplit="3" topLeftCell="A4" activePane="bottomLeft" state="frozen"/>
      <selection pane="bottomLeft"/>
    </sheetView>
  </sheetViews>
  <sheetFormatPr defaultRowHeight="14.25" x14ac:dyDescent="0.45"/>
  <cols>
    <col min="1" max="1" width="44" customWidth="1"/>
    <col min="2" max="2" width="14" customWidth="1"/>
    <col min="3" max="3" width="12" customWidth="1"/>
    <col min="4" max="4" width="52" customWidth="1"/>
    <col min="5" max="5" width="18" customWidth="1"/>
    <col min="6" max="6" width="16" customWidth="1"/>
    <col min="7" max="7" width="14" customWidth="1"/>
  </cols>
  <sheetData>
    <row r="1" spans="1:7" ht="26" customHeight="1" x14ac:dyDescent="0.45">
      <c r="A1" s="28" t="s">
        <v>138</v>
      </c>
      <c r="B1" s="22"/>
      <c r="C1" s="22"/>
      <c r="D1" s="22"/>
      <c r="E1" s="22"/>
      <c r="F1" s="22"/>
      <c r="G1" s="22"/>
    </row>
    <row r="2" spans="1:7" ht="50" customHeight="1" x14ac:dyDescent="0.45">
      <c r="A2" s="27" t="s">
        <v>139</v>
      </c>
      <c r="B2" s="22"/>
      <c r="C2" s="22"/>
      <c r="D2" s="22"/>
      <c r="E2" s="22"/>
      <c r="F2" s="22"/>
      <c r="G2" s="22"/>
    </row>
    <row r="3" spans="1:7" ht="24" customHeight="1" x14ac:dyDescent="0.45">
      <c r="A3" s="9" t="s">
        <v>140</v>
      </c>
      <c r="B3" s="9" t="s">
        <v>141</v>
      </c>
      <c r="C3" s="9" t="s">
        <v>142</v>
      </c>
      <c r="D3" s="9" t="s">
        <v>143</v>
      </c>
      <c r="E3" s="9" t="s">
        <v>95</v>
      </c>
      <c r="F3" s="9" t="s">
        <v>144</v>
      </c>
      <c r="G3" s="9" t="s">
        <v>145</v>
      </c>
    </row>
    <row r="4" spans="1:7" ht="31.05" customHeight="1" x14ac:dyDescent="0.45">
      <c r="A4" s="10" t="s">
        <v>146</v>
      </c>
      <c r="B4" s="10" t="s">
        <v>147</v>
      </c>
      <c r="C4" s="10" t="s">
        <v>148</v>
      </c>
      <c r="D4" s="10" t="s">
        <v>149</v>
      </c>
      <c r="E4" s="10" t="s">
        <v>101</v>
      </c>
      <c r="F4" s="14">
        <v>46349</v>
      </c>
      <c r="G4" s="15" t="str">
        <f>IFERROR(IF(OR(B4="",C4=""),"",IF(MATCH(B4,Listas!$C$2:$C$4,0)*MATCH(C4,Listas!$D$2:$D$4,0)&gt;=6,"Alto",IF(MATCH(B4,Listas!$C$2:$C$4,0)*MATCH(C4,Listas!$D$2:$D$4,0)&gt;=3,"Medio","Bajo"))),"")</f>
        <v>Alto</v>
      </c>
    </row>
    <row r="5" spans="1:7" ht="31.05" customHeight="1" x14ac:dyDescent="0.45">
      <c r="A5" s="10" t="s">
        <v>150</v>
      </c>
      <c r="B5" s="10" t="s">
        <v>147</v>
      </c>
      <c r="C5" s="10" t="s">
        <v>151</v>
      </c>
      <c r="D5" s="10" t="s">
        <v>152</v>
      </c>
      <c r="E5" s="10" t="s">
        <v>153</v>
      </c>
      <c r="F5" s="14">
        <v>46377</v>
      </c>
      <c r="G5" s="15" t="str">
        <f>IFERROR(IF(OR(B5="",C5=""),"",IF(MATCH(B5,Listas!$C$2:$C$4,0)*MATCH(C5,Listas!$D$2:$D$4,0)&gt;=6,"Alto",IF(MATCH(B5,Listas!$C$2:$C$4,0)*MATCH(C5,Listas!$D$2:$D$4,0)&gt;=3,"Medio","Bajo"))),"")</f>
        <v>Medio</v>
      </c>
    </row>
    <row r="6" spans="1:7" ht="32" customHeight="1" x14ac:dyDescent="0.45">
      <c r="A6" s="4"/>
      <c r="B6" s="4"/>
      <c r="C6" s="4"/>
      <c r="D6" s="4"/>
      <c r="E6" s="4"/>
      <c r="F6" s="16"/>
      <c r="G6" s="17" t="str">
        <f>IFERROR(IF(OR(B6="",C6=""),"",IF(MATCH(B6,Listas!$C$2:$C$4,0)*MATCH(C6,Listas!$D$2:$D$4,0)&gt;=6,"Alto",IF(MATCH(B6,Listas!$C$2:$C$4,0)*MATCH(C6,Listas!$D$2:$D$4,0)&gt;=3,"Medio","Bajo"))),"")</f>
        <v/>
      </c>
    </row>
    <row r="7" spans="1:7" ht="32" customHeight="1" x14ac:dyDescent="0.45">
      <c r="A7" s="4"/>
      <c r="B7" s="4"/>
      <c r="C7" s="4"/>
      <c r="D7" s="4"/>
      <c r="E7" s="4"/>
      <c r="F7" s="16"/>
      <c r="G7" s="17" t="str">
        <f>IFERROR(IF(OR(B7="",C7=""),"",IF(MATCH(B7,Listas!$C$2:$C$4,0)*MATCH(C7,Listas!$D$2:$D$4,0)&gt;=6,"Alto",IF(MATCH(B7,Listas!$C$2:$C$4,0)*MATCH(C7,Listas!$D$2:$D$4,0)&gt;=3,"Medio","Bajo"))),"")</f>
        <v/>
      </c>
    </row>
    <row r="8" spans="1:7" ht="32" customHeight="1" x14ac:dyDescent="0.45">
      <c r="A8" s="4"/>
      <c r="B8" s="4"/>
      <c r="C8" s="4"/>
      <c r="D8" s="4"/>
      <c r="E8" s="4"/>
      <c r="F8" s="16"/>
      <c r="G8" s="17" t="str">
        <f>IFERROR(IF(OR(B8="",C8=""),"",IF(MATCH(B8,Listas!$C$2:$C$4,0)*MATCH(C8,Listas!$D$2:$D$4,0)&gt;=6,"Alto",IF(MATCH(B8,Listas!$C$2:$C$4,0)*MATCH(C8,Listas!$D$2:$D$4,0)&gt;=3,"Medio","Bajo"))),"")</f>
        <v/>
      </c>
    </row>
    <row r="9" spans="1:7" ht="32" customHeight="1" x14ac:dyDescent="0.45">
      <c r="A9" s="4"/>
      <c r="B9" s="4"/>
      <c r="C9" s="4"/>
      <c r="D9" s="4"/>
      <c r="E9" s="4"/>
      <c r="F9" s="16"/>
      <c r="G9" s="17" t="str">
        <f>IFERROR(IF(OR(B9="",C9=""),"",IF(MATCH(B9,Listas!$C$2:$C$4,0)*MATCH(C9,Listas!$D$2:$D$4,0)&gt;=6,"Alto",IF(MATCH(B9,Listas!$C$2:$C$4,0)*MATCH(C9,Listas!$D$2:$D$4,0)&gt;=3,"Medio","Bajo"))),"")</f>
        <v/>
      </c>
    </row>
    <row r="10" spans="1:7" ht="32" customHeight="1" x14ac:dyDescent="0.45">
      <c r="A10" s="4"/>
      <c r="B10" s="4"/>
      <c r="C10" s="4"/>
      <c r="D10" s="4"/>
      <c r="E10" s="4"/>
      <c r="F10" s="16"/>
      <c r="G10" s="17" t="str">
        <f>IFERROR(IF(OR(B10="",C10=""),"",IF(MATCH(B10,Listas!$C$2:$C$4,0)*MATCH(C10,Listas!$D$2:$D$4,0)&gt;=6,"Alto",IF(MATCH(B10,Listas!$C$2:$C$4,0)*MATCH(C10,Listas!$D$2:$D$4,0)&gt;=3,"Medio","Bajo"))),"")</f>
        <v/>
      </c>
    </row>
    <row r="11" spans="1:7" ht="32" customHeight="1" x14ac:dyDescent="0.45">
      <c r="A11" s="4"/>
      <c r="B11" s="4"/>
      <c r="C11" s="4"/>
      <c r="D11" s="4"/>
      <c r="E11" s="4"/>
      <c r="F11" s="16"/>
      <c r="G11" s="17" t="str">
        <f>IFERROR(IF(OR(B11="",C11=""),"",IF(MATCH(B11,Listas!$C$2:$C$4,0)*MATCH(C11,Listas!$D$2:$D$4,0)&gt;=6,"Alto",IF(MATCH(B11,Listas!$C$2:$C$4,0)*MATCH(C11,Listas!$D$2:$D$4,0)&gt;=3,"Medio","Bajo"))),"")</f>
        <v/>
      </c>
    </row>
    <row r="12" spans="1:7" ht="32" customHeight="1" x14ac:dyDescent="0.45">
      <c r="A12" s="4"/>
      <c r="B12" s="4"/>
      <c r="C12" s="4"/>
      <c r="D12" s="4"/>
      <c r="E12" s="4"/>
      <c r="F12" s="16"/>
      <c r="G12" s="17" t="str">
        <f>IFERROR(IF(OR(B12="",C12=""),"",IF(MATCH(B12,Listas!$C$2:$C$4,0)*MATCH(C12,Listas!$D$2:$D$4,0)&gt;=6,"Alto",IF(MATCH(B12,Listas!$C$2:$C$4,0)*MATCH(C12,Listas!$D$2:$D$4,0)&gt;=3,"Medio","Bajo"))),"")</f>
        <v/>
      </c>
    </row>
    <row r="13" spans="1:7" ht="32" customHeight="1" x14ac:dyDescent="0.45">
      <c r="A13" s="4"/>
      <c r="B13" s="4"/>
      <c r="C13" s="4"/>
      <c r="D13" s="4"/>
      <c r="E13" s="4"/>
      <c r="F13" s="16"/>
      <c r="G13" s="17" t="str">
        <f>IFERROR(IF(OR(B13="",C13=""),"",IF(MATCH(B13,Listas!$C$2:$C$4,0)*MATCH(C13,Listas!$D$2:$D$4,0)&gt;=6,"Alto",IF(MATCH(B13,Listas!$C$2:$C$4,0)*MATCH(C13,Listas!$D$2:$D$4,0)&gt;=3,"Medio","Bajo"))),"")</f>
        <v/>
      </c>
    </row>
  </sheetData>
  <mergeCells count="2">
    <mergeCell ref="A2:G2"/>
    <mergeCell ref="A1:G1"/>
  </mergeCells>
  <conditionalFormatting sqref="B4:B43">
    <cfRule type="cellIs" dxfId="11" priority="1" operator="equal">
      <formula>"Alta"</formula>
    </cfRule>
    <cfRule type="cellIs" dxfId="10" priority="2" operator="equal">
      <formula>"Media"</formula>
    </cfRule>
    <cfRule type="cellIs" dxfId="9" priority="3" operator="equal">
      <formula>"Baja"</formula>
    </cfRule>
  </conditionalFormatting>
  <conditionalFormatting sqref="C4:C43">
    <cfRule type="cellIs" dxfId="8" priority="4" operator="equal">
      <formula>"Alto"</formula>
    </cfRule>
    <cfRule type="cellIs" dxfId="7" priority="5" operator="equal">
      <formula>"Medio"</formula>
    </cfRule>
    <cfRule type="cellIs" dxfId="6" priority="6" operator="equal">
      <formula>"Bajo"</formula>
    </cfRule>
  </conditionalFormatting>
  <conditionalFormatting sqref="G4:G43">
    <cfRule type="cellIs" dxfId="5" priority="7" operator="equal">
      <formula>"Alto"</formula>
    </cfRule>
    <cfRule type="cellIs" dxfId="4" priority="8" operator="equal">
      <formula>"Medio"</formula>
    </cfRule>
    <cfRule type="cellIs" dxfId="3" priority="9" operator="equal">
      <formula>"Bajo"</formula>
    </cfRule>
  </conditionalFormatting>
  <dataValidations count="1">
    <dataValidation type="date" errorStyle="warning" operator="greaterThan" allowBlank="1" error="Escribe una fecha válida (dd-mm-aaaa)." sqref="F4:F43" xr:uid="{00000000-0002-0000-0400-000002000000}">
      <formula1>43831</formula1>
    </dataValidation>
  </dataValidations>
  <pageMargins left="0.75" right="0.75" top="1" bottom="1" header="0.5" footer="0.5"/>
  <pageSetup paperSize="9" fitToHeight="0" orientation="landscape"/>
  <extLst>
    <ext xmlns:x14="http://schemas.microsoft.com/office/spreadsheetml/2009/9/main" uri="{CCE6A557-97BC-4b89-ADB6-D9C93CAAB3DF}">
      <x14:dataValidations xmlns:xm="http://schemas.microsoft.com/office/excel/2006/main" count="2">
        <x14:dataValidation type="list" allowBlank="1" showInputMessage="1" showErrorMessage="1" errorTitle="Valor no válido" error="Elige un valor de la lista (Probabilidad)." promptTitle="Probabilidad" prompt="Elige de la lista" xr:uid="{00000000-0002-0000-0400-000000000000}">
          <x14:formula1>
            <xm:f>Listas!$C$2:$C$4</xm:f>
          </x14:formula1>
          <xm:sqref>B4:B43</xm:sqref>
        </x14:dataValidation>
        <x14:dataValidation type="list" allowBlank="1" showInputMessage="1" showErrorMessage="1" errorTitle="Valor no válido" error="Elige un valor de la lista (Impacto)." promptTitle="Impacto" prompt="Elige de la lista" xr:uid="{00000000-0002-0000-0400-000001000000}">
          <x14:formula1>
            <xm:f>Listas!$D$2:$D$4</xm:f>
          </x14:formula1>
          <xm:sqref>C4:C43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78D4"/>
    <pageSetUpPr fitToPage="1"/>
  </sheetPr>
  <dimension ref="A1:G13"/>
  <sheetViews>
    <sheetView workbookViewId="0">
      <pane ySplit="3" topLeftCell="A4" activePane="bottomLeft" state="frozen"/>
      <selection pane="bottomLeft"/>
    </sheetView>
  </sheetViews>
  <sheetFormatPr defaultRowHeight="14.25" x14ac:dyDescent="0.45"/>
  <cols>
    <col min="1" max="1" width="44" customWidth="1"/>
    <col min="2" max="2" width="20" customWidth="1"/>
    <col min="3" max="3" width="12" customWidth="1"/>
    <col min="4" max="4" width="18" customWidth="1"/>
    <col min="5" max="5" width="16" customWidth="1"/>
    <col min="6" max="6" width="52" customWidth="1"/>
    <col min="7" max="7" width="30" customWidth="1"/>
  </cols>
  <sheetData>
    <row r="1" spans="1:7" ht="26" customHeight="1" x14ac:dyDescent="0.45">
      <c r="A1" s="28" t="s">
        <v>154</v>
      </c>
      <c r="B1" s="22"/>
      <c r="C1" s="22"/>
      <c r="D1" s="22"/>
      <c r="E1" s="22"/>
      <c r="F1" s="22"/>
      <c r="G1" s="22"/>
    </row>
    <row r="2" spans="1:7" ht="36" customHeight="1" x14ac:dyDescent="0.45">
      <c r="A2" s="27" t="s">
        <v>155</v>
      </c>
      <c r="B2" s="22"/>
      <c r="C2" s="22"/>
      <c r="D2" s="22"/>
      <c r="E2" s="22"/>
      <c r="F2" s="22"/>
      <c r="G2" s="22"/>
    </row>
    <row r="3" spans="1:7" ht="24" customHeight="1" x14ac:dyDescent="0.45">
      <c r="A3" s="9" t="s">
        <v>156</v>
      </c>
      <c r="B3" s="9" t="s">
        <v>157</v>
      </c>
      <c r="C3" s="9" t="s">
        <v>158</v>
      </c>
      <c r="D3" s="9" t="s">
        <v>95</v>
      </c>
      <c r="E3" s="9" t="s">
        <v>159</v>
      </c>
      <c r="F3" s="9" t="s">
        <v>160</v>
      </c>
      <c r="G3" s="9" t="s">
        <v>161</v>
      </c>
    </row>
    <row r="4" spans="1:7" ht="31.05" customHeight="1" x14ac:dyDescent="0.45">
      <c r="A4" s="10" t="s">
        <v>162</v>
      </c>
      <c r="B4" s="10" t="s">
        <v>163</v>
      </c>
      <c r="C4" s="10" t="s">
        <v>164</v>
      </c>
      <c r="D4" s="10" t="s">
        <v>153</v>
      </c>
      <c r="E4" s="10" t="s">
        <v>165</v>
      </c>
      <c r="F4" s="10" t="s">
        <v>166</v>
      </c>
      <c r="G4" s="10" t="s">
        <v>167</v>
      </c>
    </row>
    <row r="5" spans="1:7" ht="31.05" customHeight="1" x14ac:dyDescent="0.45">
      <c r="A5" s="10" t="s">
        <v>168</v>
      </c>
      <c r="B5" s="10" t="s">
        <v>169</v>
      </c>
      <c r="C5" s="10" t="s">
        <v>147</v>
      </c>
      <c r="D5" s="10" t="s">
        <v>170</v>
      </c>
      <c r="E5" s="10" t="s">
        <v>165</v>
      </c>
      <c r="F5" s="10" t="s">
        <v>171</v>
      </c>
      <c r="G5" s="10" t="s">
        <v>172</v>
      </c>
    </row>
    <row r="6" spans="1:7" ht="32" customHeight="1" x14ac:dyDescent="0.45">
      <c r="A6" s="4"/>
      <c r="B6" s="4"/>
      <c r="C6" s="4"/>
      <c r="D6" s="4"/>
      <c r="E6" s="4"/>
      <c r="F6" s="4"/>
      <c r="G6" s="4"/>
    </row>
    <row r="7" spans="1:7" ht="32" customHeight="1" x14ac:dyDescent="0.45">
      <c r="A7" s="4"/>
      <c r="B7" s="4"/>
      <c r="C7" s="4"/>
      <c r="D7" s="4"/>
      <c r="E7" s="4"/>
      <c r="F7" s="4"/>
      <c r="G7" s="4"/>
    </row>
    <row r="8" spans="1:7" ht="32" customHeight="1" x14ac:dyDescent="0.45">
      <c r="A8" s="4"/>
      <c r="B8" s="4"/>
      <c r="C8" s="4"/>
      <c r="D8" s="4"/>
      <c r="E8" s="4"/>
      <c r="F8" s="4"/>
      <c r="G8" s="4"/>
    </row>
    <row r="9" spans="1:7" ht="32" customHeight="1" x14ac:dyDescent="0.45">
      <c r="A9" s="4"/>
      <c r="B9" s="4"/>
      <c r="C9" s="4"/>
      <c r="D9" s="4"/>
      <c r="E9" s="4"/>
      <c r="F9" s="4"/>
      <c r="G9" s="4"/>
    </row>
    <row r="10" spans="1:7" ht="32" customHeight="1" x14ac:dyDescent="0.45">
      <c r="A10" s="4"/>
      <c r="B10" s="4"/>
      <c r="C10" s="4"/>
      <c r="D10" s="4"/>
      <c r="E10" s="4"/>
      <c r="F10" s="4"/>
      <c r="G10" s="4"/>
    </row>
    <row r="11" spans="1:7" ht="32" customHeight="1" x14ac:dyDescent="0.45">
      <c r="A11" s="4"/>
      <c r="B11" s="4"/>
      <c r="C11" s="4"/>
      <c r="D11" s="4"/>
      <c r="E11" s="4"/>
      <c r="F11" s="4"/>
      <c r="G11" s="4"/>
    </row>
    <row r="12" spans="1:7" ht="32" customHeight="1" x14ac:dyDescent="0.45">
      <c r="A12" s="4"/>
      <c r="B12" s="4"/>
      <c r="C12" s="4"/>
      <c r="D12" s="4"/>
      <c r="E12" s="4"/>
      <c r="F12" s="4"/>
      <c r="G12" s="4"/>
    </row>
    <row r="13" spans="1:7" ht="32" customHeight="1" x14ac:dyDescent="0.45">
      <c r="A13" s="4"/>
      <c r="B13" s="4"/>
      <c r="C13" s="4"/>
      <c r="D13" s="4"/>
      <c r="E13" s="4"/>
      <c r="F13" s="4"/>
      <c r="G13" s="4"/>
    </row>
  </sheetData>
  <mergeCells count="2">
    <mergeCell ref="A2:G2"/>
    <mergeCell ref="A1:G1"/>
  </mergeCells>
  <conditionalFormatting sqref="C4:C43">
    <cfRule type="cellIs" dxfId="2" priority="1" operator="equal">
      <formula>"Alta"</formula>
    </cfRule>
    <cfRule type="cellIs" dxfId="1" priority="2" operator="equal">
      <formula>"Media"</formula>
    </cfRule>
    <cfRule type="cellIs" dxfId="0" priority="3" operator="equal">
      <formula>"Baja"</formula>
    </cfRule>
  </conditionalFormatting>
  <pageMargins left="0.75" right="0.75" top="1" bottom="1" header="0.5" footer="0.5"/>
  <pageSetup paperSize="9" fitToHeight="0" orientation="landscape"/>
  <extLst>
    <ext xmlns:x14="http://schemas.microsoft.com/office/spreadsheetml/2009/9/main" uri="{CCE6A557-97BC-4b89-ADB6-D9C93CAAB3DF}">
      <x14:dataValidations xmlns:xm="http://schemas.microsoft.com/office/excel/2006/main" count="3">
        <x14:dataValidation type="list" allowBlank="1" showInputMessage="1" showErrorMessage="1" errorTitle="Valor no válido" error="Elige un valor de la lista (Tipo)." promptTitle="Tipo" prompt="Elige de la lista" xr:uid="{00000000-0002-0000-0500-000000000000}">
          <x14:formula1>
            <xm:f>Listas!$A$2:$A$5</xm:f>
          </x14:formula1>
          <xm:sqref>B4:B43</xm:sqref>
        </x14:dataValidation>
        <x14:dataValidation type="list" allowBlank="1" showInputMessage="1" showErrorMessage="1" errorTitle="Valor no válido" error="Elige un valor de la lista (Prioridad)." promptTitle="Prioridad" prompt="Elige de la lista" xr:uid="{00000000-0002-0000-0500-000001000000}">
          <x14:formula1>
            <xm:f>Listas!$B$2:$B$4</xm:f>
          </x14:formula1>
          <xm:sqref>C4:C43</xm:sqref>
        </x14:dataValidation>
        <x14:dataValidation type="list" allowBlank="1" showInputMessage="1" showErrorMessage="1" errorTitle="Valor no válido" error="Elige un valor de la lista (Esfuerzo)." promptTitle="Esfuerzo" prompt="Elige de la lista" xr:uid="{00000000-0002-0000-0500-000002000000}">
          <x14:formula1>
            <xm:f>Listas!$E$2:$E$4</xm:f>
          </x14:formula1>
          <xm:sqref>E4:E43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F7F7F"/>
  </sheetPr>
  <dimension ref="A1:G14"/>
  <sheetViews>
    <sheetView workbookViewId="0">
      <pane ySplit="1" topLeftCell="A2" activePane="bottomLeft" state="frozen"/>
      <selection pane="bottomLeft"/>
    </sheetView>
  </sheetViews>
  <sheetFormatPr defaultRowHeight="14.25" x14ac:dyDescent="0.45"/>
  <cols>
    <col min="1" max="4" width="20" customWidth="1"/>
    <col min="5" max="7" width="30" customWidth="1"/>
  </cols>
  <sheetData>
    <row r="1" spans="1:7" x14ac:dyDescent="0.45">
      <c r="A1" s="18" t="s">
        <v>157</v>
      </c>
      <c r="B1" s="18" t="s">
        <v>158</v>
      </c>
      <c r="C1" s="18" t="s">
        <v>141</v>
      </c>
      <c r="D1" s="18" t="s">
        <v>142</v>
      </c>
      <c r="E1" s="18" t="s">
        <v>159</v>
      </c>
      <c r="F1" s="18" t="s">
        <v>57</v>
      </c>
      <c r="G1" s="18" t="s">
        <v>94</v>
      </c>
    </row>
    <row r="2" spans="1:7" x14ac:dyDescent="0.45">
      <c r="A2" s="19" t="s">
        <v>173</v>
      </c>
      <c r="B2" s="19" t="s">
        <v>164</v>
      </c>
      <c r="C2" s="19" t="s">
        <v>174</v>
      </c>
      <c r="D2" s="19" t="s">
        <v>175</v>
      </c>
      <c r="E2" s="19" t="s">
        <v>176</v>
      </c>
      <c r="F2" s="19" t="s">
        <v>177</v>
      </c>
      <c r="G2" s="19" t="s">
        <v>178</v>
      </c>
    </row>
    <row r="3" spans="1:7" x14ac:dyDescent="0.45">
      <c r="A3" s="19" t="s">
        <v>163</v>
      </c>
      <c r="B3" s="19" t="s">
        <v>147</v>
      </c>
      <c r="C3" s="19" t="s">
        <v>147</v>
      </c>
      <c r="D3" s="19" t="s">
        <v>151</v>
      </c>
      <c r="E3" s="19" t="s">
        <v>165</v>
      </c>
      <c r="F3" s="19" t="s">
        <v>179</v>
      </c>
      <c r="G3" s="19" t="s">
        <v>100</v>
      </c>
    </row>
    <row r="4" spans="1:7" x14ac:dyDescent="0.45">
      <c r="A4" s="19" t="s">
        <v>180</v>
      </c>
      <c r="B4" s="19" t="s">
        <v>174</v>
      </c>
      <c r="C4" s="19" t="s">
        <v>164</v>
      </c>
      <c r="D4" s="19" t="s">
        <v>148</v>
      </c>
      <c r="E4" s="19" t="s">
        <v>181</v>
      </c>
      <c r="F4" s="19" t="s">
        <v>72</v>
      </c>
      <c r="G4" s="19" t="s">
        <v>182</v>
      </c>
    </row>
    <row r="5" spans="1:7" x14ac:dyDescent="0.45">
      <c r="A5" s="19" t="s">
        <v>169</v>
      </c>
      <c r="F5" s="19" t="s">
        <v>65</v>
      </c>
      <c r="G5" s="19" t="s">
        <v>183</v>
      </c>
    </row>
    <row r="6" spans="1:7" x14ac:dyDescent="0.45">
      <c r="F6" s="19" t="s">
        <v>184</v>
      </c>
      <c r="G6" s="19" t="s">
        <v>185</v>
      </c>
    </row>
    <row r="7" spans="1:7" x14ac:dyDescent="0.45">
      <c r="F7" s="19" t="s">
        <v>186</v>
      </c>
      <c r="G7" s="19" t="s">
        <v>106</v>
      </c>
    </row>
    <row r="8" spans="1:7" x14ac:dyDescent="0.45">
      <c r="G8" s="19" t="s">
        <v>187</v>
      </c>
    </row>
    <row r="9" spans="1:7" x14ac:dyDescent="0.45">
      <c r="G9" s="19" t="s">
        <v>188</v>
      </c>
    </row>
    <row r="10" spans="1:7" x14ac:dyDescent="0.45">
      <c r="G10" s="19" t="s">
        <v>189</v>
      </c>
    </row>
    <row r="11" spans="1:7" x14ac:dyDescent="0.45">
      <c r="G11" s="19" t="s">
        <v>190</v>
      </c>
    </row>
    <row r="12" spans="1:7" x14ac:dyDescent="0.45">
      <c r="G12" s="19" t="s">
        <v>191</v>
      </c>
    </row>
    <row r="14" spans="1:7" x14ac:dyDescent="0.45">
      <c r="A14" s="20" t="s">
        <v>192</v>
      </c>
    </row>
  </sheetData>
  <pageMargins left="0.75" right="0.75" top="1" bottom="1" header="0.5" footer="0.5"/>
</worksheet>
</file>

<file path=docMetadata/LabelInfo.xml><?xml version="1.0" encoding="utf-8"?>
<clbl:labelList xmlns:clbl="http://schemas.microsoft.com/office/2020/mipLabelMetadata">
  <clbl:label id="{87867195-f2b8-4ac2-b0b6-6bb73cb33afc}" enabled="1" method="Privilege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5</vt:i4>
      </vt:variant>
    </vt:vector>
  </HeadingPairs>
  <TitlesOfParts>
    <vt:vector size="12" baseType="lpstr">
      <vt:lpstr>Leeme</vt:lpstr>
      <vt:lpstr>1-canvas-arq-decisiones</vt:lpstr>
      <vt:lpstr>2-amenazas-controles</vt:lpstr>
      <vt:lpstr>3-slos-evals-observabilidad</vt:lpstr>
      <vt:lpstr>4-mapa-de-riesgos</vt:lpstr>
      <vt:lpstr>5-backlog</vt:lpstr>
      <vt:lpstr>Listas</vt:lpstr>
      <vt:lpstr>'1-canvas-arq-decisiones'!Print_Titles</vt:lpstr>
      <vt:lpstr>'2-amenazas-controles'!Print_Titles</vt:lpstr>
      <vt:lpstr>'3-slos-evals-observabilidad'!Print_Titles</vt:lpstr>
      <vt:lpstr>'4-mapa-de-riesgos'!Print_Titles</vt:lpstr>
      <vt:lpstr>'5-backlog'!Print_Titles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Workshop BCI · Plantillas</dc:title>
  <dc:creator>Formación Microsoft AI Foundry · BCI</dc:creator>
  <cp:lastModifiedBy>Valentina Grajales Olarte</cp:lastModifiedBy>
  <dcterms:created xsi:type="dcterms:W3CDTF">2026-10-20T12:15:26Z</dcterms:created>
  <dcterms:modified xsi:type="dcterms:W3CDTF">2026-10-23T15:18:04Z</dcterms:modified>
</cp:coreProperties>
</file>